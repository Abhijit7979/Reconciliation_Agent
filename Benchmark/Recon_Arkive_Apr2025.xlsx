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 Dashboard" sheetId="1" state="visible" r:id="rId1"/>
    <sheet name="📄 Invoices" sheetId="2" state="visible" r:id="rId2"/>
    <sheet name="🧾 Bills &amp; Expenses" sheetId="3" state="visible" r:id="rId3"/>
    <sheet name="🏦 Bank 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"/>
  </numFmts>
  <fonts count="26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375623"/>
      <sz val="13"/>
    </font>
    <font>
      <name val="Calibri"/>
      <b val="1"/>
      <color rgb="007B3F00"/>
      <sz val="13"/>
    </font>
    <font>
      <name val="Calibri"/>
      <b val="1"/>
      <color rgb="00375623"/>
      <sz val="9"/>
    </font>
    <font>
      <name val="Calibri"/>
      <b val="1"/>
      <color rgb="009C0006"/>
      <sz val="9"/>
    </font>
    <font>
      <name val="Calibri"/>
      <b val="1"/>
      <color rgb="00FFFFFF"/>
      <sz val="14"/>
    </font>
    <font>
      <name val="Calibri"/>
      <b val="1"/>
      <color rgb="001F497D"/>
      <sz val="11"/>
    </font>
    <font>
      <name val="Calibri"/>
      <b val="1"/>
      <color rgb="001F497D"/>
      <sz val="10"/>
    </font>
    <font>
      <name val="Calibri"/>
      <b val="1"/>
      <color rgb="001F497D"/>
      <sz val="12"/>
    </font>
    <font>
      <name val="Calibri"/>
      <b val="1"/>
      <color rgb="00375623"/>
      <sz val="12"/>
    </font>
    <font>
      <name val="Calibri"/>
      <b val="1"/>
      <color rgb="00C55A11"/>
      <sz val="12"/>
    </font>
    <font>
      <name val="Calibri"/>
      <i val="1"/>
      <color rgb="00595959"/>
      <sz val="9"/>
    </font>
    <font>
      <name val="Calibri"/>
      <b val="1"/>
      <color rgb="00375623"/>
      <sz val="11"/>
    </font>
    <font>
      <name val="Calibri"/>
      <b val="1"/>
      <color rgb="00375623"/>
      <sz val="10"/>
    </font>
    <font>
      <name val="Calibri"/>
      <b val="1"/>
      <color rgb="007B3F00"/>
      <sz val="11"/>
    </font>
    <font>
      <name val="Calibri"/>
      <b val="1"/>
      <color rgb="007B3F00"/>
      <sz val="10"/>
    </font>
    <font>
      <name val="Calibri"/>
      <b val="1"/>
      <color rgb="00595959"/>
      <sz val="11"/>
    </font>
    <font>
      <name val="Calibri"/>
      <sz val="10"/>
    </font>
    <font>
      <name val="Calibri"/>
      <b val="1"/>
      <color rgb="007B3F00"/>
      <sz val="12"/>
    </font>
    <font>
      <name val="Calibri"/>
      <i val="1"/>
      <color rgb="00AAAAAA"/>
      <sz val="8"/>
    </font>
  </fonts>
  <fills count="2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8F4E8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F9F9F9"/>
      </patternFill>
    </fill>
    <fill>
      <patternFill patternType="solid">
        <fgColor rgb="00FDE9D9"/>
      </patternFill>
    </fill>
    <fill>
      <patternFill patternType="solid">
        <fgColor rgb="00C55A11"/>
      </patternFill>
    </fill>
    <fill>
      <patternFill patternType="solid">
        <fgColor rgb="00EBF5EB"/>
      </patternFill>
    </fill>
    <fill>
      <patternFill patternType="solid">
        <fgColor rgb="00FFF9E6"/>
      </patternFill>
    </fill>
    <fill>
      <patternFill patternType="solid">
        <fgColor rgb="00FDECEA"/>
      </patternFill>
    </fill>
    <fill>
      <patternFill patternType="solid">
        <fgColor rgb="00BDD7EE"/>
      </patternFill>
    </fill>
    <fill>
      <patternFill patternType="solid">
        <fgColor rgb="00F7F7F7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1" fillId="3" borderId="0" applyAlignment="1" pivotButton="0" quotePrefix="0" xfId="0">
      <alignment horizontal="center" vertical="center"/>
    </xf>
    <xf numFmtId="0" fontId="12" fillId="21" borderId="0" pivotButton="0" quotePrefix="0" xfId="0"/>
    <xf numFmtId="0" fontId="13" fillId="2" borderId="1" applyAlignment="1" pivotButton="0" quotePrefix="0" xfId="0">
      <alignment horizontal="left" vertical="center"/>
    </xf>
    <xf numFmtId="164" fontId="14" fillId="22" borderId="1" applyAlignment="1" pivotButton="0" quotePrefix="0" xfId="0">
      <alignment horizontal="right" vertical="center"/>
    </xf>
    <xf numFmtId="164" fontId="15" fillId="22" borderId="1" applyAlignment="1" pivotButton="0" quotePrefix="0" xfId="0">
      <alignment horizontal="right" vertical="center"/>
    </xf>
    <xf numFmtId="164" fontId="16" fillId="22" borderId="1" applyAlignment="1" pivotButton="0" quotePrefix="0" xfId="0">
      <alignment horizontal="right" vertical="center"/>
    </xf>
    <xf numFmtId="0" fontId="17" fillId="0" borderId="0" pivotButton="0" quotePrefix="0" xfId="0"/>
    <xf numFmtId="0" fontId="18" fillId="12" borderId="0" pivotButton="0" quotePrefix="0" xfId="0"/>
    <xf numFmtId="0" fontId="19" fillId="12" borderId="1" applyAlignment="1" pivotButton="0" quotePrefix="0" xfId="0">
      <alignment horizontal="left" vertical="center"/>
    </xf>
    <xf numFmtId="0" fontId="20" fillId="16" borderId="0" pivotButton="0" quotePrefix="0" xfId="0"/>
    <xf numFmtId="0" fontId="21" fillId="16" borderId="1" applyAlignment="1" pivotButton="0" quotePrefix="0" xfId="0">
      <alignment horizontal="left" vertical="center"/>
    </xf>
    <xf numFmtId="0" fontId="22" fillId="23" borderId="0" pivotButton="0" quotePrefix="0" xfId="0"/>
    <xf numFmtId="0" fontId="23" fillId="2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22" borderId="1" applyAlignment="1" pivotButton="0" quotePrefix="0" xfId="0">
      <alignment horizontal="center"/>
    </xf>
    <xf numFmtId="0" fontId="16" fillId="22" borderId="1" applyAlignment="1" pivotButton="0" quotePrefix="0" xfId="0">
      <alignment horizontal="center"/>
    </xf>
    <xf numFmtId="0" fontId="24" fillId="22" borderId="1" applyAlignment="1" pivotButton="0" quotePrefix="0" xfId="0">
      <alignment horizontal="center"/>
    </xf>
    <xf numFmtId="0" fontId="13" fillId="2" borderId="0" pivotButton="0" quotePrefix="0" xfId="0"/>
    <xf numFmtId="0" fontId="2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4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right" vertical="center"/>
    </xf>
    <xf numFmtId="4" fontId="6" fillId="11" borderId="1" applyAlignment="1" pivotButton="0" quotePrefix="0" xfId="0">
      <alignment horizontal="right" vertical="center"/>
    </xf>
    <xf numFmtId="0" fontId="7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 wrapText="1"/>
    </xf>
    <xf numFmtId="4" fontId="4" fillId="15" borderId="1" applyAlignment="1" pivotButton="0" quotePrefix="0" xfId="0">
      <alignment horizontal="left" vertical="center"/>
    </xf>
    <xf numFmtId="0" fontId="8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4" fontId="4" fillId="18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/>
    </xf>
    <xf numFmtId="4" fontId="4" fillId="1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/>
    </xf>
    <xf numFmtId="4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8" customWidth="1" min="1" max="1"/>
    <col width="4" customWidth="1" min="2" max="2"/>
    <col width="28" customWidth="1" min="3" max="3"/>
    <col width="4" customWidth="1" min="4" max="4"/>
    <col width="22" customWidth="1" min="5" max="5"/>
  </cols>
  <sheetData>
    <row r="1" ht="30" customHeight="1">
      <c r="A1" s="1" t="inlineStr">
        <is>
          <t>Reconciliation Summary — Arkive Technologies Pvt. Ltd.  |  April 2025</t>
        </is>
      </c>
    </row>
    <row r="2"/>
    <row r="3" ht="22" customHeight="1">
      <c r="A3" s="2" t="inlineStr">
        <is>
          <t xml:space="preserve">  ACCOUNTS RECEIVABLE (AR)</t>
        </is>
      </c>
    </row>
    <row r="4" ht="18" customHeight="1">
      <c r="A4" s="3" t="inlineStr">
        <is>
          <t>AR — Total Invoiced (Subtotal)</t>
        </is>
      </c>
      <c r="C4" s="3" t="inlineStr">
        <is>
          <t>AR — Matched / Collected</t>
        </is>
      </c>
      <c r="E4" s="3" t="inlineStr">
        <is>
          <t>AR — Outstanding</t>
        </is>
      </c>
    </row>
    <row r="5" ht="22" customHeight="1">
      <c r="A5" s="4" t="n">
        <v>487204</v>
      </c>
      <c r="C5" s="5" t="n">
        <v>272700</v>
      </c>
      <c r="E5" s="6" t="n">
        <v>214504</v>
      </c>
    </row>
    <row r="6" ht="16" customHeight="1">
      <c r="A6" s="7" t="inlineStr">
        <is>
          <t xml:space="preserve">  8 invoices total  |  Matched: 3  |  Near-match: 1  |  Unmatched: 4</t>
        </is>
      </c>
    </row>
    <row r="7"/>
    <row r="8" ht="22" customHeight="1">
      <c r="A8" s="8" t="inlineStr">
        <is>
          <t xml:space="preserve">  ACCOUNTS PAYABLE (AP)</t>
        </is>
      </c>
    </row>
    <row r="9" ht="18" customHeight="1">
      <c r="A9" s="9" t="inlineStr">
        <is>
          <t>AP — Bills Gross (Subtotal)</t>
        </is>
      </c>
      <c r="C9" s="9" t="inlineStr">
        <is>
          <t>AP — Matched / Paid</t>
        </is>
      </c>
      <c r="E9" s="9" t="inlineStr">
        <is>
          <t>AP — Open Balance</t>
        </is>
      </c>
    </row>
    <row r="10" ht="22" customHeight="1">
      <c r="A10" s="4" t="n">
        <v>222250</v>
      </c>
      <c r="C10" s="5" t="n">
        <v>137800</v>
      </c>
      <c r="E10" s="6" t="n">
        <v>84450</v>
      </c>
    </row>
    <row r="11" ht="16" customHeight="1">
      <c r="A11" s="7" t="inlineStr">
        <is>
          <t xml:space="preserve">  8 bills total  |  Matched: 4  |  Near-match: 1  |  Unmatched: 3</t>
        </is>
      </c>
    </row>
    <row r="12"/>
    <row r="13" ht="22" customHeight="1">
      <c r="A13" s="10" t="inlineStr">
        <is>
          <t xml:space="preserve">  BANK STATEMENT</t>
        </is>
      </c>
    </row>
    <row r="14" ht="18" customHeight="1">
      <c r="A14" s="11" t="inlineStr">
        <is>
          <t>Bank — Total Debits</t>
        </is>
      </c>
      <c r="C14" s="11" t="inlineStr">
        <is>
          <t>Bank — Total Credits</t>
        </is>
      </c>
      <c r="E14" s="11" t="inlineStr">
        <is>
          <t>Bank — Net Movement</t>
        </is>
      </c>
    </row>
    <row r="15" ht="22" customHeight="1">
      <c r="A15" s="6" t="n">
        <v>178950</v>
      </c>
      <c r="C15" s="5" t="n">
        <v>323500</v>
      </c>
      <c r="E15" s="4" t="n">
        <v>144550</v>
      </c>
    </row>
    <row r="16" ht="16" customHeight="1">
      <c r="A16" s="7" t="inlineStr">
        <is>
          <t xml:space="preserve">  Opening Balance: Rs. 3,42,000  |  Closing Balance: Rs. 4,86,550  |  Period: 01 Apr – 30 Apr 2025</t>
        </is>
      </c>
    </row>
    <row r="17"/>
    <row r="18" ht="22" customHeight="1">
      <c r="A18" s="12" t="inlineStr">
        <is>
          <t xml:space="preserve">  RECONCILIATION COUNTS</t>
        </is>
      </c>
    </row>
    <row r="19" ht="18" customHeight="1">
      <c r="A19" s="13" t="inlineStr">
        <is>
          <t xml:space="preserve">  Matched bank lines</t>
        </is>
      </c>
      <c r="B19" s="14" t="n"/>
      <c r="C19" s="14" t="n"/>
      <c r="D19" s="15" t="n"/>
      <c r="E19" s="16" t="n">
        <v>7</v>
      </c>
    </row>
    <row r="20" ht="18" customHeight="1">
      <c r="A20" s="13" t="inlineStr">
        <is>
          <t xml:space="preserve">  Unmatched bank lines</t>
        </is>
      </c>
      <c r="B20" s="14" t="n"/>
      <c r="C20" s="14" t="n"/>
      <c r="D20" s="15" t="n"/>
      <c r="E20" s="17" t="n">
        <v>7</v>
      </c>
    </row>
    <row r="21" ht="18" customHeight="1">
      <c r="A21" s="13" t="inlineStr">
        <is>
          <t xml:space="preserve">  Matched invoices (AR)</t>
        </is>
      </c>
      <c r="B21" s="14" t="n"/>
      <c r="C21" s="14" t="n"/>
      <c r="D21" s="15" t="n"/>
      <c r="E21" s="16" t="n">
        <v>3</v>
      </c>
    </row>
    <row r="22" ht="18" customHeight="1">
      <c r="A22" s="13" t="inlineStr">
        <is>
          <t xml:space="preserve">  Unmatched / open invoices</t>
        </is>
      </c>
      <c r="B22" s="14" t="n"/>
      <c r="C22" s="14" t="n"/>
      <c r="D22" s="15" t="n"/>
      <c r="E22" s="17" t="n">
        <v>5</v>
      </c>
    </row>
    <row r="23" ht="18" customHeight="1">
      <c r="A23" s="13" t="inlineStr">
        <is>
          <t xml:space="preserve">  Matched bills (AP)</t>
        </is>
      </c>
      <c r="B23" s="14" t="n"/>
      <c r="C23" s="14" t="n"/>
      <c r="D23" s="15" t="n"/>
      <c r="E23" s="16" t="n">
        <v>4</v>
      </c>
    </row>
    <row r="24" ht="18" customHeight="1">
      <c r="A24" s="13" t="inlineStr">
        <is>
          <t xml:space="preserve">  Unmatched / open bills</t>
        </is>
      </c>
      <c r="B24" s="14" t="n"/>
      <c r="C24" s="14" t="n"/>
      <c r="D24" s="15" t="n"/>
      <c r="E24" s="17" t="n">
        <v>4</v>
      </c>
    </row>
    <row r="25" ht="18" customHeight="1">
      <c r="A25" s="13" t="inlineStr">
        <is>
          <t xml:space="preserve">  Near-match items (require review)</t>
        </is>
      </c>
      <c r="B25" s="14" t="n"/>
      <c r="C25" s="14" t="n"/>
      <c r="D25" s="15" t="n"/>
      <c r="E25" s="18" t="n">
        <v>2</v>
      </c>
    </row>
    <row r="27" ht="22" customHeight="1">
      <c r="A27" s="19" t="inlineStr">
        <is>
          <t xml:space="preserve">  LIQUIDITY PULSE — Collections minus Disbursements</t>
        </is>
      </c>
      <c r="E27" s="4" t="n">
        <v>144550</v>
      </c>
    </row>
    <row r="29">
      <c r="A29" s="20" t="inlineStr">
        <is>
          <t>Generated by ReconAgent  |  Run date: 30 Apr 2025  |  Entity: Arkive Technologies Pvt. Ltd.  |  HDFC Bank A/C: 50200012345678</t>
        </is>
      </c>
    </row>
  </sheetData>
  <mergeCells count="17">
    <mergeCell ref="A23:D23"/>
    <mergeCell ref="A29:E29"/>
    <mergeCell ref="A27:D27"/>
    <mergeCell ref="A16:E16"/>
    <mergeCell ref="A22:D22"/>
    <mergeCell ref="A20:D20"/>
    <mergeCell ref="A21:D21"/>
    <mergeCell ref="A11:E11"/>
    <mergeCell ref="A1:E1"/>
    <mergeCell ref="A25:D25"/>
    <mergeCell ref="A24:D24"/>
    <mergeCell ref="A13:E13"/>
    <mergeCell ref="A8:E8"/>
    <mergeCell ref="A19:D19"/>
    <mergeCell ref="A6:E6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48" customWidth="1" min="5" max="5"/>
    <col width="14" customWidth="1" min="6" max="6"/>
    <col width="12" customWidth="1" min="7" max="7"/>
    <col width="14" customWidth="1" min="8" max="8"/>
    <col width="16" customWidth="1" min="9" max="9"/>
    <col width="12" customWidth="1" min="10" max="10"/>
    <col width="10" customWidth="1" min="11" max="11"/>
    <col width="18" customWidth="1" min="12" max="12"/>
    <col width="12" customWidth="1" min="13" max="13"/>
    <col width="12" customWidth="1" min="14" max="14"/>
    <col width="36" customWidth="1" min="15" max="15"/>
  </cols>
  <sheetData>
    <row r="1">
      <c r="A1" s="21" t="inlineStr">
        <is>
          <t>Arkive Technologies Pvt. Ltd.  |  Bank Reconciliation  |  April 2025</t>
        </is>
      </c>
    </row>
    <row r="2">
      <c r="A2" s="22" t="inlineStr">
        <is>
          <t>Accounts Receivable — Invoices</t>
        </is>
      </c>
    </row>
    <row r="3"/>
    <row r="4"/>
    <row r="5" ht="28" customHeight="1">
      <c r="A5" s="23" t="inlineStr">
        <is>
          <t>Invoice No.</t>
        </is>
      </c>
      <c r="B5" s="23" t="inlineStr">
        <is>
          <t>Invoice Date</t>
        </is>
      </c>
      <c r="C5" s="23" t="inlineStr">
        <is>
          <t>Due Date</t>
        </is>
      </c>
      <c r="D5" s="23" t="inlineStr">
        <is>
          <t>Customer</t>
        </is>
      </c>
      <c r="E5" s="23" t="inlineStr">
        <is>
          <t>Description</t>
        </is>
      </c>
      <c r="F5" s="23" t="inlineStr">
        <is>
          <t>Invoice Amount</t>
        </is>
      </c>
      <c r="G5" s="23" t="inlineStr">
        <is>
          <t>Tax Amount</t>
        </is>
      </c>
      <c r="H5" s="23" t="inlineStr">
        <is>
          <t>Total Due</t>
        </is>
      </c>
      <c r="I5" s="23" t="inlineStr">
        <is>
          <t>Payment Received</t>
        </is>
      </c>
      <c r="J5" s="23" t="inlineStr">
        <is>
          <t>Payment Date</t>
        </is>
      </c>
      <c r="K5" s="23" t="inlineStr">
        <is>
          <t>Bank Ref</t>
        </is>
      </c>
      <c r="L5" s="23" t="inlineStr">
        <is>
          <t>Balance Outstanding</t>
        </is>
      </c>
      <c r="M5" s="23" t="inlineStr">
        <is>
          <t>Days Overdue</t>
        </is>
      </c>
      <c r="N5" s="23" t="inlineStr">
        <is>
          <t>Status</t>
        </is>
      </c>
      <c r="O5" s="23" t="inlineStr">
        <is>
          <t>Notes</t>
        </is>
      </c>
    </row>
    <row r="6">
      <c r="A6" s="24" t="inlineStr">
        <is>
          <t>INV-1041</t>
        </is>
      </c>
      <c r="B6" s="24" t="inlineStr">
        <is>
          <t>01 Apr 2025</t>
        </is>
      </c>
      <c r="C6" s="24" t="inlineStr">
        <is>
          <t>30 Apr 2025</t>
        </is>
      </c>
      <c r="D6" s="24" t="inlineStr">
        <is>
          <t>Nexora Tech Pvt. Ltd.</t>
        </is>
      </c>
      <c r="E6" s="25" t="inlineStr">
        <is>
          <t>Annual SaaS Licence – Pro Tier; Implementation Support; Training Module Bundle</t>
        </is>
      </c>
      <c r="F6" s="26" t="n">
        <v>82500</v>
      </c>
      <c r="G6" s="26" t="n">
        <v>14850</v>
      </c>
      <c r="H6" s="26" t="n">
        <v>97350</v>
      </c>
      <c r="I6" s="26" t="n">
        <v>82500</v>
      </c>
      <c r="J6" s="24" t="inlineStr">
        <is>
          <t>03 Apr 2025</t>
        </is>
      </c>
      <c r="K6" s="24" t="inlineStr">
        <is>
          <t>INV-1041</t>
        </is>
      </c>
      <c r="L6" s="26" t="n">
        <v>14850</v>
      </c>
      <c r="M6" s="24" t="n">
        <v>0</v>
      </c>
      <c r="N6" s="27" t="inlineStr">
        <is>
          <t>Paid</t>
        </is>
      </c>
      <c r="O6" s="24" t="inlineStr">
        <is>
          <t>Reconciled</t>
        </is>
      </c>
    </row>
    <row r="7">
      <c r="A7" s="28" t="inlineStr">
        <is>
          <t>INV-1042</t>
        </is>
      </c>
      <c r="B7" s="28" t="inlineStr">
        <is>
          <t>05 Apr 2025</t>
        </is>
      </c>
      <c r="C7" s="28" t="inlineStr">
        <is>
          <t>05 May 2025</t>
        </is>
      </c>
      <c r="D7" s="28" t="inlineStr">
        <is>
          <t>BlueSky Solutions</t>
        </is>
      </c>
      <c r="E7" s="29" t="inlineStr">
        <is>
          <t>Cloud Storage Add-on (500 GB/mo) x3; API Integration Package</t>
        </is>
      </c>
      <c r="F7" s="30" t="n">
        <v>45000</v>
      </c>
      <c r="G7" s="30" t="n">
        <v>8100</v>
      </c>
      <c r="H7" s="30" t="n">
        <v>53100</v>
      </c>
      <c r="I7" s="30" t="n">
        <v>0</v>
      </c>
      <c r="J7" s="28" t="inlineStr"/>
      <c r="K7" s="28" t="inlineStr"/>
      <c r="L7" s="30" t="n">
        <v>53100</v>
      </c>
      <c r="M7" s="28" t="n">
        <v>0</v>
      </c>
      <c r="N7" s="31" t="inlineStr">
        <is>
          <t>Unpaid</t>
        </is>
      </c>
      <c r="O7" s="28" t="inlineStr">
        <is>
          <t>No bank credit found</t>
        </is>
      </c>
    </row>
    <row r="8">
      <c r="A8" s="24" t="inlineStr">
        <is>
          <t>INV-1043</t>
        </is>
      </c>
      <c r="B8" s="24" t="inlineStr">
        <is>
          <t>08 Apr 2025</t>
        </is>
      </c>
      <c r="C8" s="24" t="inlineStr">
        <is>
          <t>08 May 2025</t>
        </is>
      </c>
      <c r="D8" s="24" t="inlineStr">
        <is>
          <t>Orion Retail Group</t>
        </is>
      </c>
      <c r="E8" s="25" t="inlineStr">
        <is>
          <t>Enterprise Licence (Annual); Priority Support Plan – Gold</t>
        </is>
      </c>
      <c r="F8" s="26" t="n">
        <v>118200</v>
      </c>
      <c r="G8" s="26" t="n">
        <v>21276</v>
      </c>
      <c r="H8" s="26" t="n">
        <v>139476</v>
      </c>
      <c r="I8" s="26" t="n">
        <v>118200</v>
      </c>
      <c r="J8" s="24" t="inlineStr">
        <is>
          <t>14 Apr 2025</t>
        </is>
      </c>
      <c r="K8" s="24" t="inlineStr">
        <is>
          <t>INV-1043</t>
        </is>
      </c>
      <c r="L8" s="26" t="n">
        <v>21276</v>
      </c>
      <c r="M8" s="24" t="n">
        <v>0</v>
      </c>
      <c r="N8" s="27" t="inlineStr">
        <is>
          <t>Paid</t>
        </is>
      </c>
      <c r="O8" s="24" t="inlineStr">
        <is>
          <t>Reconciled</t>
        </is>
      </c>
    </row>
    <row r="9">
      <c r="A9" s="28" t="inlineStr">
        <is>
          <t>INV-1044</t>
        </is>
      </c>
      <c r="B9" s="28" t="inlineStr">
        <is>
          <t>10 Apr 2025</t>
        </is>
      </c>
      <c r="C9" s="28" t="inlineStr">
        <is>
          <t>10 May 2025</t>
        </is>
      </c>
      <c r="D9" s="28" t="inlineStr">
        <is>
          <t>Pinnacle Logistics</t>
        </is>
      </c>
      <c r="E9" s="29" t="inlineStr">
        <is>
          <t>Freight Management Module; Custom Dashboard Setup</t>
        </is>
      </c>
      <c r="F9" s="30" t="n">
        <v>33600</v>
      </c>
      <c r="G9" s="30" t="n">
        <v>6048</v>
      </c>
      <c r="H9" s="30" t="n">
        <v>39648</v>
      </c>
      <c r="I9" s="30" t="n">
        <v>0</v>
      </c>
      <c r="J9" s="28" t="inlineStr"/>
      <c r="K9" s="28" t="inlineStr"/>
      <c r="L9" s="30" t="n">
        <v>39648</v>
      </c>
      <c r="M9" s="28" t="n">
        <v>0</v>
      </c>
      <c r="N9" s="31" t="inlineStr">
        <is>
          <t>Unpaid</t>
        </is>
      </c>
      <c r="O9" s="28" t="inlineStr">
        <is>
          <t>No bank credit found</t>
        </is>
      </c>
    </row>
    <row r="10">
      <c r="A10" s="24" t="inlineStr">
        <is>
          <t>INV-1045</t>
        </is>
      </c>
      <c r="B10" s="24" t="inlineStr">
        <is>
          <t>12 Mar 2025</t>
        </is>
      </c>
      <c r="C10" s="24" t="inlineStr">
        <is>
          <t>12 Apr 2025</t>
        </is>
      </c>
      <c r="D10" s="24" t="inlineStr">
        <is>
          <t>Vertex Media Works</t>
        </is>
      </c>
      <c r="E10" s="25" t="inlineStr">
        <is>
          <t>Video Analytics Platform (6 mo); Onboarding &amp; Config</t>
        </is>
      </c>
      <c r="F10" s="26" t="n">
        <v>48500</v>
      </c>
      <c r="G10" s="26" t="n">
        <v>8730</v>
      </c>
      <c r="H10" s="26" t="n">
        <v>57230</v>
      </c>
      <c r="I10" s="26" t="n">
        <v>0</v>
      </c>
      <c r="J10" s="24" t="inlineStr"/>
      <c r="K10" s="24" t="inlineStr"/>
      <c r="L10" s="26" t="n">
        <v>57230</v>
      </c>
      <c r="M10" s="24" t="n">
        <v>18</v>
      </c>
      <c r="N10" s="32" t="inlineStr">
        <is>
          <t>Overdue</t>
        </is>
      </c>
      <c r="O10" s="24" t="inlineStr">
        <is>
          <t>No bank credit found</t>
        </is>
      </c>
    </row>
    <row r="11">
      <c r="A11" s="28" t="inlineStr">
        <is>
          <t>INV-1046</t>
        </is>
      </c>
      <c r="B11" s="28" t="inlineStr">
        <is>
          <t>15 Apr 2025</t>
        </is>
      </c>
      <c r="C11" s="28" t="inlineStr">
        <is>
          <t>15 May 2025</t>
        </is>
      </c>
      <c r="D11" s="28" t="inlineStr">
        <is>
          <t>Greenleaf Agro</t>
        </is>
      </c>
      <c r="E11" s="29" t="inlineStr">
        <is>
          <t>AgriSense IoT Platform (Annual); Field Support Contract</t>
        </is>
      </c>
      <c r="F11" s="30" t="n">
        <v>72000</v>
      </c>
      <c r="G11" s="30" t="n">
        <v>12960</v>
      </c>
      <c r="H11" s="30" t="n">
        <v>84960</v>
      </c>
      <c r="I11" s="30" t="n">
        <v>72000</v>
      </c>
      <c r="J11" s="28" t="inlineStr">
        <is>
          <t>22 Apr 2025</t>
        </is>
      </c>
      <c r="K11" s="28" t="inlineStr">
        <is>
          <t>INV-1046</t>
        </is>
      </c>
      <c r="L11" s="30" t="n">
        <v>12960</v>
      </c>
      <c r="M11" s="28" t="n">
        <v>0</v>
      </c>
      <c r="N11" s="27" t="inlineStr">
        <is>
          <t>Paid</t>
        </is>
      </c>
      <c r="O11" s="28" t="inlineStr">
        <is>
          <t>Reconciled</t>
        </is>
      </c>
    </row>
    <row r="12">
      <c r="A12" s="24" t="inlineStr">
        <is>
          <t>INV-1047</t>
        </is>
      </c>
      <c r="B12" s="24" t="inlineStr">
        <is>
          <t>20 Apr 2025</t>
        </is>
      </c>
      <c r="C12" s="24" t="inlineStr">
        <is>
          <t>20 May 2025</t>
        </is>
      </c>
      <c r="D12" s="24" t="inlineStr">
        <is>
          <t>Silverline Constructions</t>
        </is>
      </c>
      <c r="E12" s="25" t="inlineStr">
        <is>
          <t>Project Management Suite; ERP Integration Fee</t>
        </is>
      </c>
      <c r="F12" s="26" t="n">
        <v>53400</v>
      </c>
      <c r="G12" s="26" t="n">
        <v>9612</v>
      </c>
      <c r="H12" s="26" t="n">
        <v>63012</v>
      </c>
      <c r="I12" s="26" t="n">
        <v>0</v>
      </c>
      <c r="J12" s="24" t="inlineStr"/>
      <c r="K12" s="24" t="inlineStr"/>
      <c r="L12" s="26" t="n">
        <v>63012</v>
      </c>
      <c r="M12" s="24" t="n">
        <v>0</v>
      </c>
      <c r="N12" s="33" t="inlineStr">
        <is>
          <t>Draft</t>
        </is>
      </c>
      <c r="O12" s="24" t="inlineStr">
        <is>
          <t>No bank credit found</t>
        </is>
      </c>
    </row>
    <row r="13">
      <c r="A13" s="28" t="inlineStr">
        <is>
          <t>INV-1048</t>
        </is>
      </c>
      <c r="B13" s="28" t="inlineStr">
        <is>
          <t>22 Apr 2025</t>
        </is>
      </c>
      <c r="C13" s="28" t="inlineStr">
        <is>
          <t>22 May 2025</t>
        </is>
      </c>
      <c r="D13" s="28" t="inlineStr">
        <is>
          <t>BlueSky Solutions</t>
        </is>
      </c>
      <c r="E13" s="29" t="inlineStr">
        <is>
          <t>Monthly SaaS – Standard Tier; Extra User Seats x10</t>
        </is>
      </c>
      <c r="F13" s="30" t="n">
        <v>34004</v>
      </c>
      <c r="G13" s="30" t="n">
        <v>6121</v>
      </c>
      <c r="H13" s="30" t="n">
        <v>40125</v>
      </c>
      <c r="I13" s="30" t="n">
        <v>0</v>
      </c>
      <c r="J13" s="28" t="inlineStr"/>
      <c r="K13" s="28" t="inlineStr"/>
      <c r="L13" s="30" t="n">
        <v>40125</v>
      </c>
      <c r="M13" s="28" t="n">
        <v>0</v>
      </c>
      <c r="N13" s="31" t="inlineStr">
        <is>
          <t>Unpaid</t>
        </is>
      </c>
      <c r="O13" s="28" t="inlineStr">
        <is>
          <t>Amount mismatch Rs.4 – review</t>
        </is>
      </c>
    </row>
    <row r="14">
      <c r="A14" s="34" t="inlineStr">
        <is>
          <t>TOTALS</t>
        </is>
      </c>
      <c r="B14" s="34" t="n"/>
      <c r="C14" s="34" t="n"/>
      <c r="D14" s="34" t="n"/>
      <c r="E14" s="34" t="n"/>
      <c r="F14" s="35">
        <f>SUM(F6:F13)</f>
        <v/>
      </c>
      <c r="G14" s="35">
        <f>SUM(G6:G13)</f>
        <v/>
      </c>
      <c r="H14" s="35">
        <f>SUM(H6:H13)</f>
        <v/>
      </c>
      <c r="I14" s="35">
        <f>SUM(I6:I13)</f>
        <v/>
      </c>
      <c r="J14" s="34" t="n"/>
      <c r="K14" s="34" t="n"/>
      <c r="L14" s="35">
        <f>SUM(L6:L13)</f>
        <v/>
      </c>
      <c r="M14" s="34" t="n"/>
      <c r="N14" s="34" t="n"/>
      <c r="O14" s="34" t="n"/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8" customWidth="1" min="5" max="5"/>
    <col width="52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0" customWidth="1" min="13" max="13"/>
    <col width="16" customWidth="1" min="14" max="14"/>
    <col width="12" customWidth="1" min="15" max="15"/>
    <col width="44" customWidth="1" min="16" max="16"/>
  </cols>
  <sheetData>
    <row r="1">
      <c r="A1" s="36" t="inlineStr">
        <is>
          <t>Arkive Technologies Pvt. Ltd.  |  Bank Reconciliation  |  April 2025</t>
        </is>
      </c>
    </row>
    <row r="2">
      <c r="A2" s="37" t="inlineStr">
        <is>
          <t>Accounts Payable — Bills &amp; Expenses</t>
        </is>
      </c>
    </row>
    <row r="3"/>
    <row r="4"/>
    <row r="5" ht="28" customHeight="1">
      <c r="A5" s="38" t="inlineStr">
        <is>
          <t>Bill No.</t>
        </is>
      </c>
      <c r="B5" s="38" t="inlineStr">
        <is>
          <t>Bill Date</t>
        </is>
      </c>
      <c r="C5" s="38" t="inlineStr">
        <is>
          <t>Due Date</t>
        </is>
      </c>
      <c r="D5" s="38" t="inlineStr">
        <is>
          <t>Vendor</t>
        </is>
      </c>
      <c r="E5" s="38" t="inlineStr">
        <is>
          <t>Category</t>
        </is>
      </c>
      <c r="F5" s="38" t="inlineStr">
        <is>
          <t>Description</t>
        </is>
      </c>
      <c r="G5" s="38" t="inlineStr">
        <is>
          <t>Bill Amount</t>
        </is>
      </c>
      <c r="H5" s="38" t="inlineStr">
        <is>
          <t>Tax / GST</t>
        </is>
      </c>
      <c r="I5" s="38" t="inlineStr">
        <is>
          <t>Net Payable</t>
        </is>
      </c>
      <c r="J5" s="38" t="inlineStr">
        <is>
          <t>Amount Paid</t>
        </is>
      </c>
      <c r="K5" s="38" t="inlineStr">
        <is>
          <t>Payment Date</t>
        </is>
      </c>
      <c r="L5" s="38" t="inlineStr">
        <is>
          <t>Payment Method</t>
        </is>
      </c>
      <c r="M5" s="38" t="inlineStr">
        <is>
          <t>Bank Ref</t>
        </is>
      </c>
      <c r="N5" s="38" t="inlineStr">
        <is>
          <t>Balance Remaining</t>
        </is>
      </c>
      <c r="O5" s="38" t="inlineStr">
        <is>
          <t>Status</t>
        </is>
      </c>
      <c r="P5" s="38" t="inlineStr">
        <is>
          <t>Notes</t>
        </is>
      </c>
    </row>
    <row r="6">
      <c r="A6" s="24" t="inlineStr">
        <is>
          <t>BILL-401</t>
        </is>
      </c>
      <c r="B6" s="24" t="inlineStr">
        <is>
          <t>01 Apr 2025</t>
        </is>
      </c>
      <c r="C6" s="24" t="inlineStr">
        <is>
          <t>15 Apr 2025</t>
        </is>
      </c>
      <c r="D6" s="24" t="inlineStr">
        <is>
          <t>TechSpark Cloud</t>
        </is>
      </c>
      <c r="E6" s="24" t="inlineStr">
        <is>
          <t>SaaS / Cloud</t>
        </is>
      </c>
      <c r="F6" s="25" t="inlineStr">
        <is>
          <t>Cloud Compute 8vCPU; Object Storage 2TB; CDN Bandwidth 5TB</t>
        </is>
      </c>
      <c r="G6" s="26" t="n">
        <v>28000</v>
      </c>
      <c r="H6" s="26" t="n">
        <v>5040</v>
      </c>
      <c r="I6" s="26" t="n">
        <v>33040</v>
      </c>
      <c r="J6" s="26" t="n">
        <v>28000</v>
      </c>
      <c r="K6" s="24" t="inlineStr">
        <is>
          <t>07 Apr 2025</t>
        </is>
      </c>
      <c r="L6" s="24" t="inlineStr">
        <is>
          <t>Auto-debit</t>
        </is>
      </c>
      <c r="M6" s="24" t="inlineStr">
        <is>
          <t>BILL-401</t>
        </is>
      </c>
      <c r="N6" s="26" t="n">
        <v>5040</v>
      </c>
      <c r="O6" s="27" t="inlineStr">
        <is>
          <t>Paid</t>
        </is>
      </c>
      <c r="P6" s="24" t="inlineStr">
        <is>
          <t>Reconciled</t>
        </is>
      </c>
    </row>
    <row r="7">
      <c r="A7" s="39" t="inlineStr">
        <is>
          <t>BILL-402</t>
        </is>
      </c>
      <c r="B7" s="39" t="inlineStr">
        <is>
          <t>01 Apr 2025</t>
        </is>
      </c>
      <c r="C7" s="39" t="inlineStr">
        <is>
          <t>07 Apr 2025</t>
        </is>
      </c>
      <c r="D7" s="39" t="inlineStr">
        <is>
          <t>Ananya HR Consultants</t>
        </is>
      </c>
      <c r="E7" s="39" t="inlineStr">
        <is>
          <t>Payroll</t>
        </is>
      </c>
      <c r="F7" s="40" t="inlineStr">
        <is>
          <t>Payroll Processing – April (28 employees); PF/ESI Compliance Filing</t>
        </is>
      </c>
      <c r="G7" s="41" t="n">
        <v>95000</v>
      </c>
      <c r="H7" s="41" t="n">
        <v>17100</v>
      </c>
      <c r="I7" s="41" t="n">
        <v>112100</v>
      </c>
      <c r="J7" s="41" t="n">
        <v>95000</v>
      </c>
      <c r="K7" s="39" t="inlineStr">
        <is>
          <t>01 Apr 2025</t>
        </is>
      </c>
      <c r="L7" s="39" t="inlineStr">
        <is>
          <t>Transfer</t>
        </is>
      </c>
      <c r="M7" s="39" t="inlineStr">
        <is>
          <t>BILL-402</t>
        </is>
      </c>
      <c r="N7" s="41" t="n">
        <v>17100</v>
      </c>
      <c r="O7" s="27" t="inlineStr">
        <is>
          <t>Paid</t>
        </is>
      </c>
      <c r="P7" s="39" t="inlineStr">
        <is>
          <t>Reconciled</t>
        </is>
      </c>
    </row>
    <row r="8">
      <c r="A8" s="24" t="inlineStr">
        <is>
          <t>BILL-403</t>
        </is>
      </c>
      <c r="B8" s="24" t="inlineStr">
        <is>
          <t>05 Apr 2025</t>
        </is>
      </c>
      <c r="C8" s="24" t="inlineStr">
        <is>
          <t>20 Apr 2025</t>
        </is>
      </c>
      <c r="D8" s="24" t="inlineStr">
        <is>
          <t>QuickCourier Pvt.</t>
        </is>
      </c>
      <c r="E8" s="24" t="inlineStr">
        <is>
          <t>Logistics</t>
        </is>
      </c>
      <c r="F8" s="25" t="inlineStr">
        <is>
          <t>Domestic Courier – 210 shipments; Fuel Surcharge</t>
        </is>
      </c>
      <c r="G8" s="26" t="n">
        <v>12000</v>
      </c>
      <c r="H8" s="26" t="n">
        <v>2160</v>
      </c>
      <c r="I8" s="26" t="n">
        <v>14160</v>
      </c>
      <c r="J8" s="26" t="n">
        <v>0</v>
      </c>
      <c r="K8" s="24" t="inlineStr"/>
      <c r="L8" s="24" t="inlineStr"/>
      <c r="M8" s="24" t="inlineStr"/>
      <c r="N8" s="26" t="n">
        <v>14160</v>
      </c>
      <c r="O8" s="32" t="inlineStr">
        <is>
          <t>Overdue</t>
        </is>
      </c>
      <c r="P8" s="24" t="inlineStr">
        <is>
          <t>No bank debit found – overdue</t>
        </is>
      </c>
    </row>
    <row r="9">
      <c r="A9" s="39" t="inlineStr">
        <is>
          <t>BILL-404</t>
        </is>
      </c>
      <c r="B9" s="39" t="inlineStr">
        <is>
          <t>08 Apr 2025</t>
        </is>
      </c>
      <c r="C9" s="39" t="inlineStr">
        <is>
          <t>30 Apr 2025</t>
        </is>
      </c>
      <c r="D9" s="39" t="inlineStr">
        <is>
          <t>Office Depot India</t>
        </is>
      </c>
      <c r="E9" s="39" t="inlineStr">
        <is>
          <t>Office Supplies</t>
        </is>
      </c>
      <c r="F9" s="40" t="inlineStr">
        <is>
          <t>A4 Copier Paper – 10 reams; Stationery Bundle; Printer Toner x2</t>
        </is>
      </c>
      <c r="G9" s="41" t="n">
        <v>11650</v>
      </c>
      <c r="H9" s="41" t="n">
        <v>2097</v>
      </c>
      <c r="I9" s="41" t="n">
        <v>13747</v>
      </c>
      <c r="J9" s="41" t="n">
        <v>0</v>
      </c>
      <c r="K9" s="39" t="inlineStr"/>
      <c r="L9" s="39" t="inlineStr"/>
      <c r="M9" s="39" t="inlineStr"/>
      <c r="N9" s="41" t="n">
        <v>13747</v>
      </c>
      <c r="O9" s="27" t="inlineStr">
        <is>
          <t>Paid</t>
        </is>
      </c>
      <c r="P9" s="39" t="inlineStr">
        <is>
          <t>Amount mismatch: Bank Rs.8,650 vs Bill Rs.11,650 – review</t>
        </is>
      </c>
    </row>
    <row r="10">
      <c r="A10" s="24" t="inlineStr">
        <is>
          <t>BILL-405</t>
        </is>
      </c>
      <c r="B10" s="24" t="inlineStr">
        <is>
          <t>10 Apr 2025</t>
        </is>
      </c>
      <c r="C10" s="24" t="inlineStr">
        <is>
          <t>25 Apr 2025</t>
        </is>
      </c>
      <c r="D10" s="24" t="inlineStr">
        <is>
          <t>Reliance Power</t>
        </is>
      </c>
      <c r="E10" s="24" t="inlineStr">
        <is>
          <t>Utilities</t>
        </is>
      </c>
      <c r="F10" s="25" t="inlineStr">
        <is>
          <t>Electricity – March consumption (1240 kWh); Fixed Supply Charge</t>
        </is>
      </c>
      <c r="G10" s="26" t="n">
        <v>10000</v>
      </c>
      <c r="H10" s="26" t="n">
        <v>1800</v>
      </c>
      <c r="I10" s="26" t="n">
        <v>11800</v>
      </c>
      <c r="J10" s="26" t="n">
        <v>10000</v>
      </c>
      <c r="K10" s="24" t="inlineStr">
        <is>
          <t>30 Apr 2025</t>
        </is>
      </c>
      <c r="L10" s="24" t="inlineStr">
        <is>
          <t>Auto-debit</t>
        </is>
      </c>
      <c r="M10" s="24" t="inlineStr">
        <is>
          <t>BILL-405</t>
        </is>
      </c>
      <c r="N10" s="26" t="n">
        <v>1800</v>
      </c>
      <c r="O10" s="31" t="inlineStr">
        <is>
          <t>Unpaid</t>
        </is>
      </c>
      <c r="P10" s="24" t="inlineStr">
        <is>
          <t>Reconciled</t>
        </is>
      </c>
    </row>
    <row r="11">
      <c r="A11" s="39" t="inlineStr">
        <is>
          <t>BILL-406</t>
        </is>
      </c>
      <c r="B11" s="39" t="inlineStr">
        <is>
          <t>12 Apr 2025</t>
        </is>
      </c>
      <c r="C11" s="39" t="inlineStr">
        <is>
          <t>12 May 2025</t>
        </is>
      </c>
      <c r="D11" s="39" t="inlineStr">
        <is>
          <t>Digital Adworks</t>
        </is>
      </c>
      <c r="E11" s="39" t="inlineStr">
        <is>
          <t>Marketing</t>
        </is>
      </c>
      <c r="F11" s="40" t="inlineStr">
        <is>
          <t>Google Ads Management – April; SEO &amp; Content Package; Social Media Creatives x8</t>
        </is>
      </c>
      <c r="G11" s="41" t="n">
        <v>38400</v>
      </c>
      <c r="H11" s="41" t="n">
        <v>6912</v>
      </c>
      <c r="I11" s="41" t="n">
        <v>45312</v>
      </c>
      <c r="J11" s="41" t="n">
        <v>0</v>
      </c>
      <c r="K11" s="39" t="inlineStr"/>
      <c r="L11" s="39" t="inlineStr"/>
      <c r="M11" s="39" t="inlineStr"/>
      <c r="N11" s="41" t="n">
        <v>45312</v>
      </c>
      <c r="O11" s="31" t="inlineStr">
        <is>
          <t>Unpaid</t>
        </is>
      </c>
      <c r="P11" s="39" t="inlineStr">
        <is>
          <t>No bank debit found</t>
        </is>
      </c>
    </row>
    <row r="12">
      <c r="A12" s="24" t="inlineStr">
        <is>
          <t>BILL-407</t>
        </is>
      </c>
      <c r="B12" s="24" t="inlineStr">
        <is>
          <t>15 Apr 2025</t>
        </is>
      </c>
      <c r="C12" s="24" t="inlineStr">
        <is>
          <t>15 May 2025</t>
        </is>
      </c>
      <c r="D12" s="24" t="inlineStr">
        <is>
          <t>Skynet ISP</t>
        </is>
      </c>
      <c r="E12" s="24" t="inlineStr">
        <is>
          <t>Internet / Telecom</t>
        </is>
      </c>
      <c r="F12" s="25" t="inlineStr">
        <is>
          <t>Leased Line 100 Mbps – April; Static IP Block (/29)</t>
        </is>
      </c>
      <c r="G12" s="26" t="n">
        <v>4800</v>
      </c>
      <c r="H12" s="26" t="n">
        <v>864</v>
      </c>
      <c r="I12" s="26" t="n">
        <v>5664</v>
      </c>
      <c r="J12" s="26" t="n">
        <v>4800</v>
      </c>
      <c r="K12" s="24" t="inlineStr">
        <is>
          <t>30 Apr 2025</t>
        </is>
      </c>
      <c r="L12" s="24" t="inlineStr">
        <is>
          <t>Auto-debit</t>
        </is>
      </c>
      <c r="M12" s="24" t="inlineStr">
        <is>
          <t>BILL-407</t>
        </is>
      </c>
      <c r="N12" s="26" t="n">
        <v>864</v>
      </c>
      <c r="O12" s="31" t="inlineStr">
        <is>
          <t>Unpaid</t>
        </is>
      </c>
      <c r="P12" s="24" t="inlineStr">
        <is>
          <t>Reconciled</t>
        </is>
      </c>
    </row>
    <row r="13">
      <c r="A13" s="39" t="inlineStr">
        <is>
          <t>BILL-408</t>
        </is>
      </c>
      <c r="B13" s="39" t="inlineStr">
        <is>
          <t>18 Mar 2025</t>
        </is>
      </c>
      <c r="C13" s="39" t="inlineStr">
        <is>
          <t>18 Apr 2025</t>
        </is>
      </c>
      <c r="D13" s="39" t="inlineStr">
        <is>
          <t>Mahesh &amp; Associates</t>
        </is>
      </c>
      <c r="E13" s="39" t="inlineStr">
        <is>
          <t>Legal / Compliance</t>
        </is>
      </c>
      <c r="F13" s="40" t="inlineStr">
        <is>
          <t>Annual ROC Compliance Filing; GST Audit Assistance; Contract Review – 3 agreements</t>
        </is>
      </c>
      <c r="G13" s="41" t="n">
        <v>22400</v>
      </c>
      <c r="H13" s="41" t="n">
        <v>4032</v>
      </c>
      <c r="I13" s="41" t="n">
        <v>26432</v>
      </c>
      <c r="J13" s="41" t="n">
        <v>0</v>
      </c>
      <c r="K13" s="39" t="inlineStr"/>
      <c r="L13" s="39" t="inlineStr"/>
      <c r="M13" s="39" t="inlineStr"/>
      <c r="N13" s="41" t="n">
        <v>26432</v>
      </c>
      <c r="O13" s="32" t="inlineStr">
        <is>
          <t>Overdue</t>
        </is>
      </c>
      <c r="P13" s="39" t="inlineStr">
        <is>
          <t>No bank debit found – overdue</t>
        </is>
      </c>
    </row>
    <row r="14">
      <c r="A14" s="34" t="inlineStr">
        <is>
          <t>TOTALS</t>
        </is>
      </c>
      <c r="B14" s="34" t="n"/>
      <c r="C14" s="34" t="n"/>
      <c r="D14" s="34" t="n"/>
      <c r="E14" s="34" t="n"/>
      <c r="F14" s="34" t="n"/>
      <c r="G14" s="35">
        <f>SUM(G6:G13)</f>
        <v/>
      </c>
      <c r="H14" s="35">
        <f>SUM(H6:H13)</f>
        <v/>
      </c>
      <c r="I14" s="35">
        <f>SUM(I6:I13)</f>
        <v/>
      </c>
      <c r="J14" s="35">
        <f>SUM(J6:J13)</f>
        <v/>
      </c>
      <c r="K14" s="34" t="n"/>
      <c r="L14" s="34" t="n"/>
      <c r="M14" s="34" t="n"/>
      <c r="N14" s="35">
        <f>SUM(N6:N13)</f>
        <v/>
      </c>
      <c r="O14" s="34" t="n"/>
      <c r="P14" s="34" t="n"/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3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0" customWidth="1" min="10" max="10"/>
    <col width="11" customWidth="1" min="11" max="11"/>
    <col width="14" customWidth="1" min="12" max="12"/>
    <col width="10" customWidth="1" min="13" max="13"/>
    <col width="58" customWidth="1" min="14" max="14"/>
  </cols>
  <sheetData>
    <row r="1">
      <c r="A1" s="42" t="inlineStr">
        <is>
          <t>Arkive Technologies Pvt. Ltd.  |  Bank Reconciliation  |  April 2025</t>
        </is>
      </c>
    </row>
    <row r="2">
      <c r="A2" s="43" t="inlineStr">
        <is>
          <t>Bank Transactions — HDFC Bank A/C 50200012345678  |  01 Apr – 30 Apr 2025</t>
        </is>
      </c>
    </row>
    <row r="3"/>
    <row r="4"/>
    <row r="5" ht="28" customHeight="1">
      <c r="A5" s="44" t="inlineStr">
        <is>
          <t>Reference</t>
        </is>
      </c>
      <c r="B5" s="44" t="inlineStr">
        <is>
          <t>Transaction Date</t>
        </is>
      </c>
      <c r="C5" s="44" t="inlineStr">
        <is>
          <t>Value Date</t>
        </is>
      </c>
      <c r="D5" s="44" t="inlineStr">
        <is>
          <t>Description</t>
        </is>
      </c>
      <c r="E5" s="44" t="inlineStr">
        <is>
          <t>Debit</t>
        </is>
      </c>
      <c r="F5" s="44" t="inlineStr">
        <is>
          <t>Credit</t>
        </is>
      </c>
      <c r="G5" s="44" t="inlineStr">
        <is>
          <t>Running Balance</t>
        </is>
      </c>
      <c r="H5" s="44" t="inlineStr">
        <is>
          <t>Type</t>
        </is>
      </c>
      <c r="I5" s="44" t="inlineStr">
        <is>
          <t>Matched To</t>
        </is>
      </c>
      <c r="J5" s="44" t="inlineStr">
        <is>
          <t>Match Type</t>
        </is>
      </c>
      <c r="K5" s="44" t="inlineStr">
        <is>
          <t>Reconciled</t>
        </is>
      </c>
      <c r="L5" s="44" t="inlineStr">
        <is>
          <t>Reconciled Date</t>
        </is>
      </c>
      <c r="M5" s="44" t="inlineStr">
        <is>
          <t>Variance</t>
        </is>
      </c>
      <c r="N5" s="44" t="inlineStr">
        <is>
          <t>Notes</t>
        </is>
      </c>
    </row>
    <row r="6">
      <c r="A6" s="45" t="inlineStr">
        <is>
          <t>BILL-402</t>
        </is>
      </c>
      <c r="B6" s="45" t="inlineStr">
        <is>
          <t>01 Apr 2025</t>
        </is>
      </c>
      <c r="C6" s="45" t="inlineStr">
        <is>
          <t>01 Apr 2025</t>
        </is>
      </c>
      <c r="D6" s="45" t="inlineStr">
        <is>
          <t>Payroll – April</t>
        </is>
      </c>
      <c r="E6" s="46" t="n">
        <v>95000</v>
      </c>
      <c r="F6" s="46" t="inlineStr"/>
      <c r="G6" s="46" t="n">
        <v>247000</v>
      </c>
      <c r="H6" s="45" t="inlineStr">
        <is>
          <t>Transfer</t>
        </is>
      </c>
      <c r="I6" s="45" t="inlineStr">
        <is>
          <t>BILL-402</t>
        </is>
      </c>
      <c r="J6" s="45" t="inlineStr">
        <is>
          <t>Bill</t>
        </is>
      </c>
      <c r="K6" s="47" t="inlineStr">
        <is>
          <t>Yes</t>
        </is>
      </c>
      <c r="L6" s="45" t="inlineStr">
        <is>
          <t>30 Apr 2025</t>
        </is>
      </c>
      <c r="M6" s="46" t="n">
        <v>0</v>
      </c>
      <c r="N6" s="48" t="inlineStr"/>
    </row>
    <row r="7">
      <c r="A7" s="45" t="inlineStr">
        <is>
          <t>INV-1041</t>
        </is>
      </c>
      <c r="B7" s="45" t="inlineStr">
        <is>
          <t>03 Apr 2025</t>
        </is>
      </c>
      <c r="C7" s="45" t="inlineStr">
        <is>
          <t>03 Apr 2025</t>
        </is>
      </c>
      <c r="D7" s="45" t="inlineStr">
        <is>
          <t>Nexora Tech – INV-1041</t>
        </is>
      </c>
      <c r="E7" s="46" t="inlineStr"/>
      <c r="F7" s="46" t="n">
        <v>82500</v>
      </c>
      <c r="G7" s="46" t="n">
        <v>329500</v>
      </c>
      <c r="H7" s="45" t="inlineStr">
        <is>
          <t>NEFT</t>
        </is>
      </c>
      <c r="I7" s="45" t="inlineStr">
        <is>
          <t>INV-1041</t>
        </is>
      </c>
      <c r="J7" s="45" t="inlineStr">
        <is>
          <t>Invoice</t>
        </is>
      </c>
      <c r="K7" s="47" t="inlineStr">
        <is>
          <t>Yes</t>
        </is>
      </c>
      <c r="L7" s="45" t="inlineStr">
        <is>
          <t>30 Apr 2025</t>
        </is>
      </c>
      <c r="M7" s="46" t="n">
        <v>0</v>
      </c>
      <c r="N7" s="48" t="inlineStr"/>
    </row>
    <row r="8">
      <c r="A8" s="45" t="inlineStr">
        <is>
          <t>BILL-401</t>
        </is>
      </c>
      <c r="B8" s="45" t="inlineStr">
        <is>
          <t>07 Apr 2025</t>
        </is>
      </c>
      <c r="C8" s="45" t="inlineStr">
        <is>
          <t>07 Apr 2025</t>
        </is>
      </c>
      <c r="D8" s="45" t="inlineStr">
        <is>
          <t>TechSpark Cloud – Apr</t>
        </is>
      </c>
      <c r="E8" s="46" t="n">
        <v>28000</v>
      </c>
      <c r="F8" s="46" t="inlineStr"/>
      <c r="G8" s="46" t="n">
        <v>301500</v>
      </c>
      <c r="H8" s="45" t="inlineStr">
        <is>
          <t>Auto-debit</t>
        </is>
      </c>
      <c r="I8" s="45" t="inlineStr">
        <is>
          <t>BILL-401</t>
        </is>
      </c>
      <c r="J8" s="45" t="inlineStr">
        <is>
          <t>Bill</t>
        </is>
      </c>
      <c r="K8" s="47" t="inlineStr">
        <is>
          <t>Yes</t>
        </is>
      </c>
      <c r="L8" s="45" t="inlineStr">
        <is>
          <t>30 Apr 2025</t>
        </is>
      </c>
      <c r="M8" s="46" t="n">
        <v>0</v>
      </c>
      <c r="N8" s="48" t="inlineStr"/>
    </row>
    <row r="9">
      <c r="A9" s="49" t="inlineStr">
        <is>
          <t>BILL-404</t>
        </is>
      </c>
      <c r="B9" s="49" t="inlineStr">
        <is>
          <t>10 Apr 2025</t>
        </is>
      </c>
      <c r="C9" s="49" t="inlineStr">
        <is>
          <t>10 Apr 2025</t>
        </is>
      </c>
      <c r="D9" s="49" t="inlineStr">
        <is>
          <t>Office Depot – Supplies</t>
        </is>
      </c>
      <c r="E9" s="50" t="n">
        <v>8650</v>
      </c>
      <c r="F9" s="50" t="inlineStr"/>
      <c r="G9" s="50" t="n">
        <v>292850</v>
      </c>
      <c r="H9" s="49" t="inlineStr">
        <is>
          <t>UPI</t>
        </is>
      </c>
      <c r="I9" s="49" t="inlineStr">
        <is>
          <t>BILL-404</t>
        </is>
      </c>
      <c r="J9" s="49" t="inlineStr">
        <is>
          <t>Bill</t>
        </is>
      </c>
      <c r="K9" s="51" t="inlineStr">
        <is>
          <t>No</t>
        </is>
      </c>
      <c r="L9" s="49" t="inlineStr"/>
      <c r="M9" s="50" t="n">
        <v>3000</v>
      </c>
      <c r="N9" s="52" t="inlineStr">
        <is>
          <t>Amount mismatch: Bank Rs.8,650 vs Bill subtotal Rs.11,650 — partial payment? Refer for human review</t>
        </is>
      </c>
    </row>
    <row r="10">
      <c r="A10" s="45" t="inlineStr">
        <is>
          <t>INV-1043</t>
        </is>
      </c>
      <c r="B10" s="45" t="inlineStr">
        <is>
          <t>14 Apr 2025</t>
        </is>
      </c>
      <c r="C10" s="45" t="inlineStr">
        <is>
          <t>14 Apr 2025</t>
        </is>
      </c>
      <c r="D10" s="45" t="inlineStr">
        <is>
          <t>Orion Retail – INV-1043</t>
        </is>
      </c>
      <c r="E10" s="46" t="inlineStr"/>
      <c r="F10" s="46" t="n">
        <v>118200</v>
      </c>
      <c r="G10" s="46" t="n">
        <v>411050</v>
      </c>
      <c r="H10" s="45" t="inlineStr">
        <is>
          <t>RTGS</t>
        </is>
      </c>
      <c r="I10" s="45" t="inlineStr">
        <is>
          <t>INV-1043</t>
        </is>
      </c>
      <c r="J10" s="45" t="inlineStr">
        <is>
          <t>Invoice</t>
        </is>
      </c>
      <c r="K10" s="47" t="inlineStr">
        <is>
          <t>Yes</t>
        </is>
      </c>
      <c r="L10" s="45" t="inlineStr">
        <is>
          <t>30 Apr 2025</t>
        </is>
      </c>
      <c r="M10" s="46" t="n">
        <v>0</v>
      </c>
      <c r="N10" s="48" t="inlineStr"/>
    </row>
    <row r="11">
      <c r="A11" s="53" t="inlineStr">
        <is>
          <t>REF-009</t>
        </is>
      </c>
      <c r="B11" s="53" t="inlineStr">
        <is>
          <t>18 Apr 2025</t>
        </is>
      </c>
      <c r="C11" s="53" t="inlineStr">
        <is>
          <t>18 Apr 2025</t>
        </is>
      </c>
      <c r="D11" s="53" t="inlineStr">
        <is>
          <t>Misc. refund – vendor</t>
        </is>
      </c>
      <c r="E11" s="54" t="inlineStr"/>
      <c r="F11" s="54" t="n">
        <v>4800</v>
      </c>
      <c r="G11" s="54" t="n">
        <v>415850</v>
      </c>
      <c r="H11" s="53" t="inlineStr">
        <is>
          <t>Credit</t>
        </is>
      </c>
      <c r="I11" s="53" t="inlineStr"/>
      <c r="J11" s="53" t="inlineStr"/>
      <c r="K11" s="51" t="inlineStr">
        <is>
          <t>No</t>
        </is>
      </c>
      <c r="L11" s="53" t="inlineStr"/>
      <c r="M11" s="54" t="inlineStr"/>
      <c r="N11" s="55" t="inlineStr">
        <is>
          <t>No matching invoice — vendor refund, no source document found</t>
        </is>
      </c>
    </row>
    <row r="12">
      <c r="A12" s="45" t="inlineStr">
        <is>
          <t>INV-1046</t>
        </is>
      </c>
      <c r="B12" s="45" t="inlineStr">
        <is>
          <t>22 Apr 2025</t>
        </is>
      </c>
      <c r="C12" s="45" t="inlineStr">
        <is>
          <t>22 Apr 2025</t>
        </is>
      </c>
      <c r="D12" s="45" t="inlineStr">
        <is>
          <t>Greenleaf Agro – INV-1046</t>
        </is>
      </c>
      <c r="E12" s="46" t="inlineStr"/>
      <c r="F12" s="46" t="n">
        <v>72000</v>
      </c>
      <c r="G12" s="46" t="n">
        <v>487850</v>
      </c>
      <c r="H12" s="45" t="inlineStr">
        <is>
          <t>NEFT</t>
        </is>
      </c>
      <c r="I12" s="45" t="inlineStr">
        <is>
          <t>INV-1046</t>
        </is>
      </c>
      <c r="J12" s="45" t="inlineStr">
        <is>
          <t>Invoice</t>
        </is>
      </c>
      <c r="K12" s="47" t="inlineStr">
        <is>
          <t>Yes</t>
        </is>
      </c>
      <c r="L12" s="45" t="inlineStr">
        <is>
          <t>30 Apr 2025</t>
        </is>
      </c>
      <c r="M12" s="46" t="n">
        <v>0</v>
      </c>
      <c r="N12" s="48" t="inlineStr"/>
    </row>
    <row r="13">
      <c r="A13" s="53" t="inlineStr">
        <is>
          <t>ADV-012</t>
        </is>
      </c>
      <c r="B13" s="53" t="inlineStr">
        <is>
          <t>25 Apr 2025</t>
        </is>
      </c>
      <c r="C13" s="53" t="inlineStr">
        <is>
          <t>25 Apr 2025</t>
        </is>
      </c>
      <c r="D13" s="53" t="inlineStr">
        <is>
          <t>Digital Adworks deposit</t>
        </is>
      </c>
      <c r="E13" s="54" t="n">
        <v>19200</v>
      </c>
      <c r="F13" s="54" t="inlineStr"/>
      <c r="G13" s="54" t="n">
        <v>468650</v>
      </c>
      <c r="H13" s="53" t="inlineStr">
        <is>
          <t>Transfer</t>
        </is>
      </c>
      <c r="I13" s="53" t="inlineStr"/>
      <c r="J13" s="53" t="inlineStr"/>
      <c r="K13" s="51" t="inlineStr">
        <is>
          <t>No</t>
        </is>
      </c>
      <c r="L13" s="53" t="inlineStr"/>
      <c r="M13" s="54" t="inlineStr"/>
      <c r="N13" s="55" t="inlineStr">
        <is>
          <t>No bill ref ADV-012; BILL-406 (Digital Adworks) subtotal=Rs.38,400 — possible advance/deposit</t>
        </is>
      </c>
    </row>
    <row r="14">
      <c r="A14" s="53" t="inlineStr">
        <is>
          <t>BNK-CHG</t>
        </is>
      </c>
      <c r="B14" s="53" t="inlineStr">
        <is>
          <t>28 Apr 2025</t>
        </is>
      </c>
      <c r="C14" s="53" t="inlineStr">
        <is>
          <t>28 Apr 2025</t>
        </is>
      </c>
      <c r="D14" s="53" t="inlineStr">
        <is>
          <t>Bank charges – Q1</t>
        </is>
      </c>
      <c r="E14" s="54" t="n">
        <v>2500</v>
      </c>
      <c r="F14" s="54" t="inlineStr"/>
      <c r="G14" s="54" t="n">
        <v>466150</v>
      </c>
      <c r="H14" s="53" t="inlineStr">
        <is>
          <t>Fee</t>
        </is>
      </c>
      <c r="I14" s="53" t="inlineStr"/>
      <c r="J14" s="53" t="inlineStr"/>
      <c r="K14" s="51" t="inlineStr">
        <is>
          <t>No</t>
        </is>
      </c>
      <c r="L14" s="53" t="inlineStr"/>
      <c r="M14" s="54" t="inlineStr"/>
      <c r="N14" s="55" t="inlineStr">
        <is>
          <t>Bank fee — no supporting bill</t>
        </is>
      </c>
    </row>
    <row r="15">
      <c r="A15" s="53" t="inlineStr">
        <is>
          <t>INT-APR</t>
        </is>
      </c>
      <c r="B15" s="53" t="inlineStr">
        <is>
          <t>30 Apr 2025</t>
        </is>
      </c>
      <c r="C15" s="53" t="inlineStr">
        <is>
          <t>30 Apr 2025</t>
        </is>
      </c>
      <c r="D15" s="53" t="inlineStr">
        <is>
          <t>Interest earned</t>
        </is>
      </c>
      <c r="E15" s="54" t="inlineStr"/>
      <c r="F15" s="54" t="n">
        <v>12000</v>
      </c>
      <c r="G15" s="54" t="n">
        <v>478150</v>
      </c>
      <c r="H15" s="53" t="inlineStr">
        <is>
          <t>Credit</t>
        </is>
      </c>
      <c r="I15" s="53" t="inlineStr"/>
      <c r="J15" s="53" t="inlineStr"/>
      <c r="K15" s="51" t="inlineStr">
        <is>
          <t>No</t>
        </is>
      </c>
      <c r="L15" s="53" t="inlineStr"/>
      <c r="M15" s="54" t="inlineStr"/>
      <c r="N15" s="55" t="inlineStr">
        <is>
          <t>Bank interest income — no supporting invoice</t>
        </is>
      </c>
    </row>
    <row r="16">
      <c r="A16" s="45" t="inlineStr">
        <is>
          <t>BILL-405</t>
        </is>
      </c>
      <c r="B16" s="45" t="inlineStr">
        <is>
          <t>30 Apr 2025</t>
        </is>
      </c>
      <c r="C16" s="45" t="inlineStr">
        <is>
          <t>30 Apr 2025</t>
        </is>
      </c>
      <c r="D16" s="45" t="inlineStr">
        <is>
          <t>Reliance Power – utilities</t>
        </is>
      </c>
      <c r="E16" s="46" t="n">
        <v>10000</v>
      </c>
      <c r="F16" s="46" t="inlineStr"/>
      <c r="G16" s="46" t="n">
        <v>468150</v>
      </c>
      <c r="H16" s="45" t="inlineStr">
        <is>
          <t>Auto-debit</t>
        </is>
      </c>
      <c r="I16" s="45" t="inlineStr">
        <is>
          <t>BILL-405</t>
        </is>
      </c>
      <c r="J16" s="45" t="inlineStr">
        <is>
          <t>Bill</t>
        </is>
      </c>
      <c r="K16" s="47" t="inlineStr">
        <is>
          <t>Yes</t>
        </is>
      </c>
      <c r="L16" s="45" t="inlineStr">
        <is>
          <t>30 Apr 2025</t>
        </is>
      </c>
      <c r="M16" s="46" t="n">
        <v>0</v>
      </c>
      <c r="N16" s="48" t="inlineStr"/>
    </row>
    <row r="17">
      <c r="A17" s="45" t="inlineStr">
        <is>
          <t>BILL-407</t>
        </is>
      </c>
      <c r="B17" s="45" t="inlineStr">
        <is>
          <t>30 Apr 2025</t>
        </is>
      </c>
      <c r="C17" s="45" t="inlineStr">
        <is>
          <t>30 Apr 2025</t>
        </is>
      </c>
      <c r="D17" s="45" t="inlineStr">
        <is>
          <t>Skynet ISP – April</t>
        </is>
      </c>
      <c r="E17" s="46" t="n">
        <v>4800</v>
      </c>
      <c r="F17" s="46" t="inlineStr"/>
      <c r="G17" s="46" t="n">
        <v>463350</v>
      </c>
      <c r="H17" s="45" t="inlineStr">
        <is>
          <t>Auto-debit</t>
        </is>
      </c>
      <c r="I17" s="45" t="inlineStr">
        <is>
          <t>BILL-407</t>
        </is>
      </c>
      <c r="J17" s="45" t="inlineStr">
        <is>
          <t>Bill</t>
        </is>
      </c>
      <c r="K17" s="47" t="inlineStr">
        <is>
          <t>Yes</t>
        </is>
      </c>
      <c r="L17" s="45" t="inlineStr">
        <is>
          <t>30 Apr 2025</t>
        </is>
      </c>
      <c r="M17" s="46" t="n">
        <v>0</v>
      </c>
      <c r="N17" s="48" t="inlineStr"/>
    </row>
    <row r="18">
      <c r="A18" s="49" t="inlineStr">
        <is>
          <t>INV-1048</t>
        </is>
      </c>
      <c r="B18" s="49" t="inlineStr">
        <is>
          <t>30 Apr 2025</t>
        </is>
      </c>
      <c r="C18" s="49" t="inlineStr">
        <is>
          <t>30 Apr 2025</t>
        </is>
      </c>
      <c r="D18" s="49" t="inlineStr">
        <is>
          <t>BlueSky Solutions – INV-1048</t>
        </is>
      </c>
      <c r="E18" s="50" t="inlineStr"/>
      <c r="F18" s="50" t="n">
        <v>34000</v>
      </c>
      <c r="G18" s="50" t="n">
        <v>497350</v>
      </c>
      <c r="H18" s="49" t="inlineStr">
        <is>
          <t>NEFT</t>
        </is>
      </c>
      <c r="I18" s="49" t="inlineStr">
        <is>
          <t>INV-1048</t>
        </is>
      </c>
      <c r="J18" s="49" t="inlineStr">
        <is>
          <t>Invoice</t>
        </is>
      </c>
      <c r="K18" s="51" t="inlineStr">
        <is>
          <t>No</t>
        </is>
      </c>
      <c r="L18" s="49" t="inlineStr"/>
      <c r="M18" s="50" t="n">
        <v>4</v>
      </c>
      <c r="N18" s="52" t="inlineStr">
        <is>
          <t>Amount mismatch: Bank Rs.34,000 vs Invoice subtotal Rs.34,004 (diff Rs.4) — refer for human review</t>
        </is>
      </c>
    </row>
    <row r="19">
      <c r="A19" s="53" t="inlineStr">
        <is>
          <t>ADJ-007</t>
        </is>
      </c>
      <c r="B19" s="53" t="inlineStr">
        <is>
          <t>30 Apr 2025</t>
        </is>
      </c>
      <c r="C19" s="53" t="inlineStr">
        <is>
          <t>30 Apr 2025</t>
        </is>
      </c>
      <c r="D19" s="53" t="inlineStr">
        <is>
          <t>Closing misc. adjustment</t>
        </is>
      </c>
      <c r="E19" s="54" t="n">
        <v>10800</v>
      </c>
      <c r="F19" s="54" t="inlineStr"/>
      <c r="G19" s="54" t="n">
        <v>486550</v>
      </c>
      <c r="H19" s="53" t="inlineStr">
        <is>
          <t>Journal</t>
        </is>
      </c>
      <c r="I19" s="53" t="inlineStr"/>
      <c r="J19" s="53" t="inlineStr"/>
      <c r="K19" s="51" t="inlineStr">
        <is>
          <t>No</t>
        </is>
      </c>
      <c r="L19" s="53" t="inlineStr"/>
      <c r="M19" s="54" t="inlineStr"/>
      <c r="N19" s="55" t="inlineStr">
        <is>
          <t>Journal adjustment — no supporting document</t>
        </is>
      </c>
    </row>
    <row r="20">
      <c r="A20" s="34" t="inlineStr">
        <is>
          <t>TOTALS</t>
        </is>
      </c>
      <c r="B20" s="34" t="n"/>
      <c r="C20" s="34" t="n"/>
      <c r="D20" s="34" t="n"/>
      <c r="E20" s="35">
        <f>SUM(E6:E19)</f>
        <v/>
      </c>
      <c r="F20" s="35">
        <f>SUM(F6:F19)</f>
        <v/>
      </c>
      <c r="G20" s="35">
        <f>SUM(G6:G19)</f>
        <v/>
      </c>
      <c r="H20" s="34" t="n"/>
      <c r="I20" s="34" t="n"/>
      <c r="J20" s="34" t="n"/>
      <c r="K20" s="34" t="n"/>
      <c r="L20" s="34" t="n"/>
      <c r="M20" s="34" t="n"/>
      <c r="N20" s="34" t="n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2026-05-10T23:09:27Z</dcterms:created>
  <dcterms:modified xsi:type="dcterms:W3CDTF">2026-05-12T13:29:28Z</dcterms:modified>
</cp:coreProperties>
</file>